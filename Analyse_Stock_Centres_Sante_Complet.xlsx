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ronoudji\Desktop\FORMATION CLAUDE IA\Claude for Data\Jour 1\"/>
    </mc:Choice>
  </mc:AlternateContent>
  <xr:revisionPtr revIDLastSave="0" documentId="13_ncr:1_{E7157C50-4E35-48B2-84C8-DECE512F6D0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Données nettoyées" sheetId="2" r:id="rId2"/>
    <sheet name="Données consolidées" sheetId="3" r:id="rId3"/>
    <sheet name="KPI" sheetId="4" r:id="rId4"/>
    <sheet name="Données graphiques" sheetId="5" r:id="rId5"/>
    <sheet name="Journal des corrections" sheetId="6" r:id="rId6"/>
    <sheet name="Recommandations" sheetId="7" r:id="rId7"/>
    <sheet name="Feuil1" sheetId="8" r:id="rId8"/>
  </sheets>
  <definedNames>
    <definedName name="_xlnm._FilterDatabase" localSheetId="2" hidden="1">'Données consolidées'!$A$1:$I$16</definedName>
    <definedName name="_xlnm._FilterDatabase" localSheetId="1" hidden="1">'Données nettoyées'!$A$1:$G$18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3" l="1"/>
  <c r="E15" i="4" s="1"/>
  <c r="F16" i="3"/>
  <c r="E16" i="3"/>
  <c r="F5" i="5" s="1"/>
  <c r="D16" i="3"/>
  <c r="H16" i="3" s="1"/>
  <c r="F15" i="3"/>
  <c r="E15" i="3"/>
  <c r="F4" i="5" s="1"/>
  <c r="D15" i="3"/>
  <c r="G15" i="3" s="1"/>
  <c r="F11" i="5" s="1"/>
  <c r="F14" i="3"/>
  <c r="E14" i="3"/>
  <c r="F3" i="5" s="1"/>
  <c r="D14" i="3"/>
  <c r="H14" i="3" s="1"/>
  <c r="F13" i="3"/>
  <c r="E13" i="3"/>
  <c r="E5" i="5" s="1"/>
  <c r="D13" i="3"/>
  <c r="H13" i="3" s="1"/>
  <c r="G12" i="3"/>
  <c r="E11" i="5" s="1"/>
  <c r="F12" i="3"/>
  <c r="E12" i="3"/>
  <c r="E4" i="5" s="1"/>
  <c r="D12" i="3"/>
  <c r="H12" i="3" s="1"/>
  <c r="F11" i="3"/>
  <c r="E11" i="3"/>
  <c r="E3" i="5" s="1"/>
  <c r="D11" i="3"/>
  <c r="G11" i="3" s="1"/>
  <c r="F10" i="3"/>
  <c r="E10" i="3"/>
  <c r="D6" i="4" s="1"/>
  <c r="D10" i="3"/>
  <c r="H10" i="3" s="1"/>
  <c r="F9" i="3"/>
  <c r="E9" i="3"/>
  <c r="G9" i="3" s="1"/>
  <c r="D11" i="5" s="1"/>
  <c r="D9" i="3"/>
  <c r="H9" i="3" s="1"/>
  <c r="G8" i="3"/>
  <c r="D10" i="5" s="1"/>
  <c r="F8" i="3"/>
  <c r="E8" i="3"/>
  <c r="D3" i="5" s="1"/>
  <c r="D8" i="3"/>
  <c r="H8" i="3" s="1"/>
  <c r="C13" i="4" s="1"/>
  <c r="F7" i="3"/>
  <c r="E7" i="3"/>
  <c r="D12" i="4" s="1"/>
  <c r="D7" i="3"/>
  <c r="G7" i="3" s="1"/>
  <c r="F6" i="3"/>
  <c r="E6" i="3"/>
  <c r="C4" i="5" s="1"/>
  <c r="D6" i="3"/>
  <c r="H6" i="3" s="1"/>
  <c r="F5" i="3"/>
  <c r="E5" i="3"/>
  <c r="C3" i="5" s="1"/>
  <c r="D5" i="3"/>
  <c r="H5" i="3" s="1"/>
  <c r="G4" i="3"/>
  <c r="E11" i="4" s="1"/>
  <c r="F4" i="3"/>
  <c r="E4" i="3"/>
  <c r="B5" i="5" s="1"/>
  <c r="D4" i="3"/>
  <c r="C6" i="4" s="1"/>
  <c r="F3" i="3"/>
  <c r="E3" i="3"/>
  <c r="D5" i="4" s="1"/>
  <c r="D3" i="3"/>
  <c r="G3" i="3" s="1"/>
  <c r="F2" i="3"/>
  <c r="E2" i="3"/>
  <c r="D4" i="4" s="1"/>
  <c r="D2" i="3"/>
  <c r="H2" i="3" s="1"/>
  <c r="G5" i="1"/>
  <c r="B11" i="5" l="1"/>
  <c r="E10" i="5"/>
  <c r="C12" i="5"/>
  <c r="E12" i="4"/>
  <c r="F12" i="4" s="1"/>
  <c r="B18" i="5" s="1"/>
  <c r="F15" i="4"/>
  <c r="B21" i="5" s="1"/>
  <c r="H7" i="3"/>
  <c r="C12" i="4" s="1"/>
  <c r="D4" i="5"/>
  <c r="C5" i="5"/>
  <c r="H3" i="3"/>
  <c r="C11" i="4" s="1"/>
  <c r="D13" i="4"/>
  <c r="H4" i="3"/>
  <c r="G5" i="3"/>
  <c r="G13" i="3"/>
  <c r="B14" i="4" s="1"/>
  <c r="D14" i="4"/>
  <c r="B3" i="5"/>
  <c r="D5" i="5"/>
  <c r="H11" i="3"/>
  <c r="C14" i="4" s="1"/>
  <c r="G2" i="3"/>
  <c r="G6" i="3"/>
  <c r="C11" i="5" s="1"/>
  <c r="G10" i="3"/>
  <c r="G14" i="3"/>
  <c r="C4" i="4"/>
  <c r="C5" i="4"/>
  <c r="D11" i="4"/>
  <c r="F11" i="4" s="1"/>
  <c r="D15" i="4"/>
  <c r="B4" i="5"/>
  <c r="B12" i="5"/>
  <c r="F12" i="5"/>
  <c r="H15" i="3"/>
  <c r="C15" i="4" s="1"/>
  <c r="B17" i="5" l="1"/>
  <c r="J5" i="1"/>
  <c r="C10" i="5"/>
  <c r="B12" i="4"/>
  <c r="E13" i="4"/>
  <c r="F13" i="4" s="1"/>
  <c r="B19" i="5" s="1"/>
  <c r="D12" i="5"/>
  <c r="E14" i="4"/>
  <c r="F14" i="4" s="1"/>
  <c r="B20" i="5" s="1"/>
  <c r="E12" i="5"/>
  <c r="E4" i="4"/>
  <c r="B11" i="4"/>
  <c r="B10" i="5"/>
  <c r="B13" i="4"/>
  <c r="F10" i="5"/>
  <c r="B15" i="4"/>
  <c r="E6" i="4"/>
  <c r="E5" i="4"/>
  <c r="G6" i="4" s="1"/>
  <c r="G5" i="4" l="1"/>
  <c r="A5" i="1"/>
  <c r="D5" i="1"/>
  <c r="F6" i="4"/>
  <c r="F5" i="4"/>
  <c r="F4" i="4"/>
</calcChain>
</file>

<file path=xl/sharedStrings.xml><?xml version="1.0" encoding="utf-8"?>
<sst xmlns="http://schemas.openxmlformats.org/spreadsheetml/2006/main" count="204" uniqueCount="71">
  <si>
    <t>Tableau de bord — Analyse du stock des centres de santé</t>
  </si>
  <si>
    <t>Janvier – mars 2026</t>
  </si>
  <si>
    <t>Consommation totale (mars)</t>
  </si>
  <si>
    <t>Croissance conso (janv. → mars)</t>
  </si>
  <si>
    <t>Centre le plus à risque</t>
  </si>
  <si>
    <t>Couverture Centre 1 (mars)</t>
  </si>
  <si>
    <t>unités</t>
  </si>
  <si>
    <t>jours</t>
  </si>
  <si>
    <t>Note : les valeurs 0 pour Centre 2 (janvier) et Centre 3 (février) reflètent une donnée manquante à la source, pas une valeur nulle réelle. Voir l'onglet Données consolidées.</t>
  </si>
  <si>
    <t>Centre</t>
  </si>
  <si>
    <t>Période</t>
  </si>
  <si>
    <t>Mois</t>
  </si>
  <si>
    <t>Stock début</t>
  </si>
  <si>
    <t>Stock fin</t>
  </si>
  <si>
    <t>Ruptures</t>
  </si>
  <si>
    <t>À vérifier</t>
  </si>
  <si>
    <t>Centre 1</t>
  </si>
  <si>
    <t>2026-01</t>
  </si>
  <si>
    <t>Janvier 2026</t>
  </si>
  <si>
    <t>2026-02</t>
  </si>
  <si>
    <t>Février 2026</t>
  </si>
  <si>
    <t>2026-03</t>
  </si>
  <si>
    <t>Mars 2026</t>
  </si>
  <si>
    <t>Centre 2</t>
  </si>
  <si>
    <t>stock_fin manquant</t>
  </si>
  <si>
    <t>doublon de période (valeurs conflictuelles)</t>
  </si>
  <si>
    <t>Centre 3</t>
  </si>
  <si>
    <t>Centre 4</t>
  </si>
  <si>
    <t>Centre 5</t>
  </si>
  <si>
    <t>stock_debut manquant; rupture signalée mais stock_fin &gt; 0; doublon de période (valeurs conflictuelles)</t>
  </si>
  <si>
    <t>Consommation</t>
  </si>
  <si>
    <t>Taux conso (%)</t>
  </si>
  <si>
    <t>Note</t>
  </si>
  <si>
    <t>Stock fin manquant à la source (N/A) — non estimé</t>
  </si>
  <si>
    <t>Moyenne de 2 enregistrements en conflit — à confirmer avec le terrain</t>
  </si>
  <si>
    <t>Fusion de 2 enregistrements en conflit (dont 1 rupture déclarée) — à confirmer avec le terrain</t>
  </si>
  <si>
    <t>Indicateurs mensuels (réseau)</t>
  </si>
  <si>
    <t>Stock début total</t>
  </si>
  <si>
    <t>Stock fin total</t>
  </si>
  <si>
    <t>Consommation totale</t>
  </si>
  <si>
    <t>Taux conso réseau (%)</t>
  </si>
  <si>
    <t>Croissance conso vs mois précédent (%)</t>
  </si>
  <si>
    <t>Indicateurs par centre</t>
  </si>
  <si>
    <t>Consommation moyenne (unités/mois)</t>
  </si>
  <si>
    <t>Taux conso moyen (%)</t>
  </si>
  <si>
    <t>Stock fin (mars)</t>
  </si>
  <si>
    <t>Consommation (mars)</t>
  </si>
  <si>
    <t>Couverture (jours restants)</t>
  </si>
  <si>
    <t>Stock fin par centre et par mois (unités)</t>
  </si>
  <si>
    <t>Consommation par centre et par mois (unités)</t>
  </si>
  <si>
    <t>Couverture de stock restante en mars (jours)</t>
  </si>
  <si>
    <t>Jours de couverture</t>
  </si>
  <si>
    <t>#</t>
  </si>
  <si>
    <t>Correction / Anomalie signalée</t>
  </si>
  <si>
    <t>Ligne supprimée (doublon exact) : CENTRE-3 / 2026-01-01 00:00:00 -&gt; Centre 3 2026-01</t>
  </si>
  <si>
    <t>Valeur manquante 'stock_fin' pour Centre 2 - 2026-01 (valeur d'origine : 'N/A'). Non complétée, à vérifier auprès de la source.</t>
  </si>
  <si>
    <t>Valeur manquante 'stock_fin' pour Centre 3 - 2026-02 (valeur d'origine : 'N/A'). Non complétée, à vérifier auprès de la source.</t>
  </si>
  <si>
    <t>Valeur manquante 'stock_debut' pour Centre 5 - 2026-02. Non complétée, à vérifier auprès de la source.</t>
  </si>
  <si>
    <t>Conflit détecté : plusieurs enregistrements pour Centre 5 - 2026-02 avec des valeurs différentes (stock_debut=91.0, stock_fin=42.0, ruptures=0). Les deux lignes sont conservées, à vérifier auprès de la source.</t>
  </si>
  <si>
    <t>Conflit détecté : plusieurs enregistrements pour Centre 2 - 2026-03 avec des valeurs différentes (stock_debut=173.0, stock_fin=133.0, ruptures=0). Les deux lignes sont conservées, à vérifier auprès de la source.</t>
  </si>
  <si>
    <t>Conflit détecté : plusieurs enregistrements pour Centre 2 - 2026-03 avec des valeurs différentes (stock_debut=140.0, stock_fin=38.0, ruptures=0). Les deux lignes sont conservées, à vérifier auprès de la source.</t>
  </si>
  <si>
    <t>Conflit détecté : plusieurs enregistrements pour Centre 5 - 2026-02 avec des valeurs différentes (stock_debut=nan, stock_fin=45.0, ruptures=1). Les deux lignes sont conservées, à vérifier auprès de la source.</t>
  </si>
  <si>
    <t>Recommandations à la direction</t>
  </si>
  <si>
    <t>1. Réapprovisionner le Centre 1 en urgence</t>
  </si>
  <si>
    <t>Couverture de stock estimée à environ 16 jours au rythme de consommation de mars. Déclencher une livraison prioritaire avant la fin du mois pour éviter une rupture.</t>
  </si>
  <si>
    <t>2. Enquêter sur la rupture du Centre 5 (février)</t>
  </si>
  <si>
    <t>Clarifier l'incohérence entre la rupture déclarée et le stock de fin positif reporté, avec l'équipe du centre.</t>
  </si>
  <si>
    <t>3. Fiabiliser la collecte de données</t>
  </si>
  <si>
    <t>Standardiser la saisie (noms de centres, format des mois) et bloquer les doublons à la source pour fiabiliser les prochains rapports. 4 anomalies ont été détectées sur seulement 3 mois de données.</t>
  </si>
  <si>
    <t>4. Mettre en place un seuil d'alerte automatique</t>
  </si>
  <si>
    <t>Définir un seuil de couverture minimal (ex. 30 jours) déclenchant une alerte de réapprovisionnement par centre, en s'appuyant sur la formule de couverture calculée dans l'onglet KPI.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</si>
</sst>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color rgb="FF666666"/>
      <name val="Arial"/>
      <charset val="1"/>
    </font>
    <font>
      <sz val="10"/>
      <color rgb="FF666666"/>
      <name val="Arial"/>
      <charset val="1"/>
    </font>
    <font>
      <b/>
      <sz val="22"/>
      <color rgb="FF1F4E78"/>
      <name val="Arial"/>
      <charset val="1"/>
    </font>
    <font>
      <i/>
      <sz val="9"/>
      <color rgb="FF88888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4E78"/>
      <name val="Arial"/>
      <charset val="1"/>
    </font>
    <font>
      <b/>
      <sz val="12"/>
      <color rgb="FF1F4E78"/>
      <name val="Arial"/>
      <charset val="1"/>
    </font>
    <font>
      <b/>
      <sz val="15"/>
      <color rgb="FF1F4E78"/>
      <name val="Arial"/>
      <charset val="1"/>
    </font>
    <font>
      <b/>
      <sz val="12"/>
      <color rgb="FF0F6E5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E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>
      <alignment vertical="top" wrapText="1"/>
    </xf>
    <xf numFmtId="49" fontId="4" fillId="0" borderId="0" xfId="0" applyNumberFormat="1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3" fontId="7" fillId="0" borderId="1" xfId="0" applyNumberFormat="1" applyFont="1" applyBorder="1"/>
    <xf numFmtId="0" fontId="7" fillId="3" borderId="1" xfId="0" applyFont="1" applyFill="1" applyBorder="1"/>
    <xf numFmtId="3" fontId="7" fillId="3" borderId="1" xfId="0" applyNumberFormat="1" applyFont="1" applyFill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4" fontId="7" fillId="3" borderId="1" xfId="0" applyNumberFormat="1" applyFont="1" applyFill="1" applyBorder="1"/>
    <xf numFmtId="165" fontId="7" fillId="3" borderId="1" xfId="0" applyNumberFormat="1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1">
    <dxf>
      <font>
        <b/>
        <sz val="10"/>
        <color rgb="FFC00000"/>
        <name val="Arial"/>
        <charset val="1"/>
      </font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F6E56"/>
      <rgbColor rgb="FF9BBB59"/>
      <rgbColor rgb="FF878787"/>
      <rgbColor rgb="FF8064A2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4A7EBB"/>
      <rgbColor rgb="FF4BACC6"/>
      <rgbColor rgb="FF98B855"/>
      <rgbColor rgb="FFFFCC00"/>
      <rgbColor rgb="FFFF9900"/>
      <rgbColor rgb="FFFF6600"/>
      <rgbColor rgb="FF7D5FA0"/>
      <rgbColor rgb="FF888888"/>
      <rgbColor rgb="FF003366"/>
      <rgbColor rgb="FF46AAC4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Évolution du stock de fin de mois par centre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'Données graphiques'!$B$2</c:f>
              <c:strCache>
                <c:ptCount val="1"/>
                <c:pt idx="0">
                  <c:v>Centre 1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graphiques'!$A$3:$A$5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graphiques'!$B$3:$B$5</c:f>
              <c:numCache>
                <c:formatCode>#\ ##0.0</c:formatCode>
                <c:ptCount val="3"/>
                <c:pt idx="0">
                  <c:v>85</c:v>
                </c:pt>
                <c:pt idx="1">
                  <c:v>72</c:v>
                </c:pt>
                <c:pt idx="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0-4110-97EA-E58A4C97B11B}"/>
            </c:ext>
          </c:extLst>
        </c:ser>
        <c:ser>
          <c:idx val="1"/>
          <c:order val="1"/>
          <c:tx>
            <c:strRef>
              <c:f>'Données graphiques'!$C$2</c:f>
              <c:strCache>
                <c:ptCount val="1"/>
                <c:pt idx="0">
                  <c:v>Centre 2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graphiques'!$A$3:$A$5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graphiques'!$C$3:$C$5</c:f>
              <c:numCache>
                <c:formatCode>#\ ##0.0</c:formatCode>
                <c:ptCount val="3"/>
                <c:pt idx="0">
                  <c:v>0</c:v>
                </c:pt>
                <c:pt idx="1">
                  <c:v>39</c:v>
                </c:pt>
                <c:pt idx="2">
                  <c:v>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0-4110-97EA-E58A4C97B11B}"/>
            </c:ext>
          </c:extLst>
        </c:ser>
        <c:ser>
          <c:idx val="2"/>
          <c:order val="2"/>
          <c:tx>
            <c:strRef>
              <c:f>'Données graphiques'!$D$2</c:f>
              <c:strCache>
                <c:ptCount val="1"/>
                <c:pt idx="0">
                  <c:v>Centre 3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graphiques'!$A$3:$A$5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graphiques'!$D$3:$D$5</c:f>
              <c:numCache>
                <c:formatCode>#\ ##0.0</c:formatCode>
                <c:ptCount val="3"/>
                <c:pt idx="0">
                  <c:v>86</c:v>
                </c:pt>
                <c:pt idx="1">
                  <c:v>0</c:v>
                </c:pt>
                <c:pt idx="2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0-4110-97EA-E58A4C97B11B}"/>
            </c:ext>
          </c:extLst>
        </c:ser>
        <c:ser>
          <c:idx val="3"/>
          <c:order val="3"/>
          <c:tx>
            <c:strRef>
              <c:f>'Données graphiques'!$E$2</c:f>
              <c:strCache>
                <c:ptCount val="1"/>
                <c:pt idx="0">
                  <c:v>Centre 4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graphiques'!$A$3:$A$5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graphiques'!$E$3:$E$5</c:f>
              <c:numCache>
                <c:formatCode>#\ ##0.0</c:formatCode>
                <c:ptCount val="3"/>
                <c:pt idx="0">
                  <c:v>146</c:v>
                </c:pt>
                <c:pt idx="1">
                  <c:v>89</c:v>
                </c:pt>
                <c:pt idx="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A0-4110-97EA-E58A4C97B11B}"/>
            </c:ext>
          </c:extLst>
        </c:ser>
        <c:ser>
          <c:idx val="4"/>
          <c:order val="4"/>
          <c:tx>
            <c:strRef>
              <c:f>'Données graphiques'!$F$2</c:f>
              <c:strCache>
                <c:ptCount val="1"/>
                <c:pt idx="0">
                  <c:v>Centre 5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circle"/>
            <c:size val="6"/>
            <c:spPr>
              <a:solidFill>
                <a:srgbClr val="46AA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graphiques'!$A$3:$A$5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graphiques'!$F$3:$F$5</c:f>
              <c:numCache>
                <c:formatCode>#\ ##0.0</c:formatCode>
                <c:ptCount val="3"/>
                <c:pt idx="0">
                  <c:v>41</c:v>
                </c:pt>
                <c:pt idx="1">
                  <c:v>43.5</c:v>
                </c:pt>
                <c:pt idx="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A0-4110-97EA-E58A4C97B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5787351"/>
        <c:axId val="91475571"/>
      </c:lineChart>
      <c:catAx>
        <c:axId val="95787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TD"/>
          </a:p>
        </c:txPr>
        <c:crossAx val="91475571"/>
        <c:crosses val="autoZero"/>
        <c:auto val="1"/>
        <c:lblAlgn val="ctr"/>
        <c:lblOffset val="100"/>
        <c:noMultiLvlLbl val="0"/>
      </c:catAx>
      <c:valAx>
        <c:axId val="91475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Stock (unités)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TD"/>
          </a:p>
        </c:txPr>
        <c:crossAx val="95787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T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Consommation mensuelle par centre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graphiques'!$B$9</c:f>
              <c:strCache>
                <c:ptCount val="1"/>
                <c:pt idx="0">
                  <c:v>Centre 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graphiques'!$A$10:$A$12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graphiques'!$B$10:$B$12</c:f>
              <c:numCache>
                <c:formatCode>#\ ##0.0</c:formatCode>
                <c:ptCount val="3"/>
                <c:pt idx="0">
                  <c:v>23</c:v>
                </c:pt>
                <c:pt idx="1">
                  <c:v>47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4-46BA-9F33-63A93DF236A5}"/>
            </c:ext>
          </c:extLst>
        </c:ser>
        <c:ser>
          <c:idx val="1"/>
          <c:order val="1"/>
          <c:tx>
            <c:strRef>
              <c:f>'Données graphiques'!$C$9</c:f>
              <c:strCache>
                <c:ptCount val="1"/>
                <c:pt idx="0">
                  <c:v>Centre 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graphiques'!$A$10:$A$12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graphiques'!$C$10:$C$12</c:f>
              <c:numCache>
                <c:formatCode>#\ ##0.0</c:formatCode>
                <c:ptCount val="3"/>
                <c:pt idx="0">
                  <c:v>0</c:v>
                </c:pt>
                <c:pt idx="1">
                  <c:v>65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4-46BA-9F33-63A93DF236A5}"/>
            </c:ext>
          </c:extLst>
        </c:ser>
        <c:ser>
          <c:idx val="2"/>
          <c:order val="2"/>
          <c:tx>
            <c:strRef>
              <c:f>'Données graphiques'!$D$9</c:f>
              <c:strCache>
                <c:ptCount val="1"/>
                <c:pt idx="0">
                  <c:v>Centre 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graphiques'!$A$10:$A$12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graphiques'!$D$10:$D$12</c:f>
              <c:numCache>
                <c:formatCode>#\ ##0.0</c:formatCode>
                <c:ptCount val="3"/>
                <c:pt idx="0">
                  <c:v>49</c:v>
                </c:pt>
                <c:pt idx="1">
                  <c:v>0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24-46BA-9F33-63A93DF236A5}"/>
            </c:ext>
          </c:extLst>
        </c:ser>
        <c:ser>
          <c:idx val="3"/>
          <c:order val="3"/>
          <c:tx>
            <c:strRef>
              <c:f>'Données graphiques'!$E$9</c:f>
              <c:strCache>
                <c:ptCount val="1"/>
                <c:pt idx="0">
                  <c:v>Centre 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graphiques'!$A$10:$A$12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graphiques'!$E$10:$E$12</c:f>
              <c:numCache>
                <c:formatCode>#\ ##0.0</c:formatCode>
                <c:ptCount val="3"/>
                <c:pt idx="0">
                  <c:v>73</c:v>
                </c:pt>
                <c:pt idx="1">
                  <c:v>66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24-46BA-9F33-63A93DF236A5}"/>
            </c:ext>
          </c:extLst>
        </c:ser>
        <c:ser>
          <c:idx val="4"/>
          <c:order val="4"/>
          <c:tx>
            <c:strRef>
              <c:f>'Données graphiques'!$F$9</c:f>
              <c:strCache>
                <c:ptCount val="1"/>
                <c:pt idx="0">
                  <c:v>Centre 5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graphiques'!$A$10:$A$12</c:f>
              <c:strCache>
                <c:ptCount val="3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</c:strCache>
            </c:strRef>
          </c:cat>
          <c:val>
            <c:numRef>
              <c:f>'Données graphiques'!$F$10:$F$12</c:f>
              <c:numCache>
                <c:formatCode>#\ ##0.0</c:formatCode>
                <c:ptCount val="3"/>
                <c:pt idx="0">
                  <c:v>40</c:v>
                </c:pt>
                <c:pt idx="1">
                  <c:v>47.5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4-46BA-9F33-63A93DF23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29216"/>
        <c:axId val="40382146"/>
      </c:barChart>
      <c:catAx>
        <c:axId val="494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TD"/>
          </a:p>
        </c:txPr>
        <c:crossAx val="40382146"/>
        <c:crosses val="autoZero"/>
        <c:auto val="1"/>
        <c:lblAlgn val="ctr"/>
        <c:lblOffset val="100"/>
        <c:noMultiLvlLbl val="0"/>
      </c:catAx>
      <c:valAx>
        <c:axId val="40382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Unités consommées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TD"/>
          </a:p>
        </c:txPr>
        <c:crossAx val="49429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T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Couverture de stock restante en mars (jours)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'Données graphiques'!$B$16</c:f>
              <c:strCache>
                <c:ptCount val="1"/>
                <c:pt idx="0">
                  <c:v>Jours de couverture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T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graphiques'!$A$17:$A$21</c:f>
              <c:strCache>
                <c:ptCount val="5"/>
                <c:pt idx="0">
                  <c:v>Centre 1</c:v>
                </c:pt>
                <c:pt idx="1">
                  <c:v>Centre 2</c:v>
                </c:pt>
                <c:pt idx="2">
                  <c:v>Centre 3</c:v>
                </c:pt>
                <c:pt idx="3">
                  <c:v>Centre 4</c:v>
                </c:pt>
                <c:pt idx="4">
                  <c:v>Centre 5</c:v>
                </c:pt>
              </c:strCache>
            </c:strRef>
          </c:cat>
          <c:val>
            <c:numRef>
              <c:f>'Données graphiques'!$B$17:$B$21</c:f>
              <c:numCache>
                <c:formatCode>#,##0</c:formatCode>
                <c:ptCount val="5"/>
                <c:pt idx="0">
                  <c:v>16.323529411764703</c:v>
                </c:pt>
                <c:pt idx="1">
                  <c:v>36.12676056338028</c:v>
                </c:pt>
                <c:pt idx="2">
                  <c:v>123.10344827586208</c:v>
                </c:pt>
                <c:pt idx="3">
                  <c:v>76.5</c:v>
                </c:pt>
                <c:pt idx="4">
                  <c:v>36.885245901639344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0-4CCE-A97F-D8DDBB2F8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57084"/>
        <c:axId val="61891868"/>
      </c:barChart>
      <c:catAx>
        <c:axId val="922570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Jours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TD"/>
          </a:p>
        </c:txPr>
        <c:crossAx val="61891868"/>
        <c:crosses val="autoZero"/>
        <c:auto val="1"/>
        <c:lblAlgn val="ctr"/>
        <c:lblOffset val="100"/>
        <c:noMultiLvlLbl val="0"/>
      </c:catAx>
      <c:valAx>
        <c:axId val="618918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TD"/>
          </a:p>
        </c:txPr>
        <c:crossAx val="922570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130680</xdr:rowOff>
    </xdr:from>
    <xdr:to>
      <xdr:col>7</xdr:col>
      <xdr:colOff>332280</xdr:colOff>
      <xdr:row>22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130680</xdr:rowOff>
    </xdr:from>
    <xdr:to>
      <xdr:col>7</xdr:col>
      <xdr:colOff>332280</xdr:colOff>
      <xdr:row>38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131040</xdr:rowOff>
    </xdr:from>
    <xdr:to>
      <xdr:col>7</xdr:col>
      <xdr:colOff>332280</xdr:colOff>
      <xdr:row>54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showGridLines="0" tabSelected="1" zoomScaleNormal="100" workbookViewId="0"/>
  </sheetViews>
  <sheetFormatPr baseColWidth="10" defaultColWidth="8.6640625" defaultRowHeight="14.4" x14ac:dyDescent="0.3"/>
  <cols>
    <col min="1" max="11" width="11" customWidth="1"/>
  </cols>
  <sheetData>
    <row r="1" spans="1:11" ht="21" x14ac:dyDescent="0.4">
      <c r="A1" s="6" t="s">
        <v>0</v>
      </c>
    </row>
    <row r="2" spans="1:11" x14ac:dyDescent="0.3">
      <c r="A2" s="7" t="s">
        <v>1</v>
      </c>
    </row>
    <row r="4" spans="1:11" x14ac:dyDescent="0.3">
      <c r="A4" s="5" t="s">
        <v>2</v>
      </c>
      <c r="B4" s="5"/>
      <c r="D4" s="5" t="s">
        <v>3</v>
      </c>
      <c r="E4" s="5"/>
      <c r="G4" s="5" t="s">
        <v>4</v>
      </c>
      <c r="H4" s="5"/>
      <c r="J4" s="5" t="s">
        <v>5</v>
      </c>
      <c r="K4" s="5"/>
    </row>
    <row r="5" spans="1:11" x14ac:dyDescent="0.3">
      <c r="A5" s="4">
        <f>KPI!E6</f>
        <v>269</v>
      </c>
      <c r="B5" s="4"/>
      <c r="D5" s="3">
        <f>(KPI!E6-KPI!E4)/KPI!E4</f>
        <v>0.45405405405405408</v>
      </c>
      <c r="E5" s="3"/>
      <c r="G5" s="2" t="str">
        <f>"Centre 1"</f>
        <v>Centre 1</v>
      </c>
      <c r="H5" s="2"/>
      <c r="J5" s="4">
        <f>KPI!F11</f>
        <v>16.323529411764703</v>
      </c>
      <c r="K5" s="4"/>
    </row>
    <row r="6" spans="1:11" x14ac:dyDescent="0.3">
      <c r="A6" s="4"/>
      <c r="B6" s="4"/>
      <c r="D6" s="3"/>
      <c r="E6" s="3"/>
      <c r="G6" s="2"/>
      <c r="H6" s="2"/>
      <c r="J6" s="4"/>
      <c r="K6" s="4"/>
    </row>
    <row r="7" spans="1:11" x14ac:dyDescent="0.3">
      <c r="A7" s="8" t="s">
        <v>6</v>
      </c>
      <c r="J7" s="8" t="s">
        <v>7</v>
      </c>
    </row>
    <row r="57" spans="1:1" x14ac:dyDescent="0.3">
      <c r="A57" s="8" t="s">
        <v>8</v>
      </c>
    </row>
  </sheetData>
  <mergeCells count="8">
    <mergeCell ref="A4:B4"/>
    <mergeCell ref="D4:E4"/>
    <mergeCell ref="G4:H4"/>
    <mergeCell ref="J4:K4"/>
    <mergeCell ref="A5:B6"/>
    <mergeCell ref="D5:E6"/>
    <mergeCell ref="G5:H6"/>
    <mergeCell ref="J5:K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10" customWidth="1"/>
    <col min="3" max="3" width="14" customWidth="1"/>
    <col min="4" max="4" width="13" customWidth="1"/>
    <col min="5" max="5" width="11" customWidth="1"/>
    <col min="6" max="6" width="10" customWidth="1"/>
    <col min="7" max="7" width="55" customWidth="1"/>
  </cols>
  <sheetData>
    <row r="1" spans="1:7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</row>
    <row r="2" spans="1:7" x14ac:dyDescent="0.3">
      <c r="A2" s="10" t="s">
        <v>16</v>
      </c>
      <c r="B2" s="10" t="s">
        <v>17</v>
      </c>
      <c r="C2" s="10" t="s">
        <v>18</v>
      </c>
      <c r="D2" s="11">
        <v>108</v>
      </c>
      <c r="E2" s="11">
        <v>85</v>
      </c>
      <c r="F2" s="10">
        <v>0</v>
      </c>
      <c r="G2" s="10"/>
    </row>
    <row r="3" spans="1:7" x14ac:dyDescent="0.3">
      <c r="A3" s="10" t="s">
        <v>16</v>
      </c>
      <c r="B3" s="10" t="s">
        <v>19</v>
      </c>
      <c r="C3" s="10" t="s">
        <v>20</v>
      </c>
      <c r="D3" s="11">
        <v>119</v>
      </c>
      <c r="E3" s="11">
        <v>72</v>
      </c>
      <c r="F3" s="10">
        <v>0</v>
      </c>
      <c r="G3" s="10"/>
    </row>
    <row r="4" spans="1:7" x14ac:dyDescent="0.3">
      <c r="A4" s="10" t="s">
        <v>16</v>
      </c>
      <c r="B4" s="10" t="s">
        <v>21</v>
      </c>
      <c r="C4" s="10" t="s">
        <v>22</v>
      </c>
      <c r="D4" s="11">
        <v>105</v>
      </c>
      <c r="E4" s="11">
        <v>37</v>
      </c>
      <c r="F4" s="10">
        <v>0</v>
      </c>
      <c r="G4" s="10"/>
    </row>
    <row r="5" spans="1:7" x14ac:dyDescent="0.3">
      <c r="A5" s="12" t="s">
        <v>23</v>
      </c>
      <c r="B5" s="12" t="s">
        <v>17</v>
      </c>
      <c r="C5" s="12" t="s">
        <v>18</v>
      </c>
      <c r="D5" s="13">
        <v>106</v>
      </c>
      <c r="E5" s="13"/>
      <c r="F5" s="12">
        <v>0</v>
      </c>
      <c r="G5" s="12" t="s">
        <v>24</v>
      </c>
    </row>
    <row r="6" spans="1:7" x14ac:dyDescent="0.3">
      <c r="A6" s="10" t="s">
        <v>23</v>
      </c>
      <c r="B6" s="10" t="s">
        <v>19</v>
      </c>
      <c r="C6" s="10" t="s">
        <v>20</v>
      </c>
      <c r="D6" s="11">
        <v>104</v>
      </c>
      <c r="E6" s="11">
        <v>39</v>
      </c>
      <c r="F6" s="10">
        <v>0</v>
      </c>
      <c r="G6" s="10"/>
    </row>
    <row r="7" spans="1:7" x14ac:dyDescent="0.3">
      <c r="A7" s="12" t="s">
        <v>23</v>
      </c>
      <c r="B7" s="12" t="s">
        <v>21</v>
      </c>
      <c r="C7" s="12" t="s">
        <v>22</v>
      </c>
      <c r="D7" s="13">
        <v>173</v>
      </c>
      <c r="E7" s="13">
        <v>133</v>
      </c>
      <c r="F7" s="12">
        <v>0</v>
      </c>
      <c r="G7" s="12" t="s">
        <v>25</v>
      </c>
    </row>
    <row r="8" spans="1:7" x14ac:dyDescent="0.3">
      <c r="A8" s="12" t="s">
        <v>23</v>
      </c>
      <c r="B8" s="12" t="s">
        <v>21</v>
      </c>
      <c r="C8" s="12" t="s">
        <v>22</v>
      </c>
      <c r="D8" s="13">
        <v>140</v>
      </c>
      <c r="E8" s="13">
        <v>38</v>
      </c>
      <c r="F8" s="12">
        <v>0</v>
      </c>
      <c r="G8" s="12" t="s">
        <v>25</v>
      </c>
    </row>
    <row r="9" spans="1:7" x14ac:dyDescent="0.3">
      <c r="A9" s="10" t="s">
        <v>26</v>
      </c>
      <c r="B9" s="10" t="s">
        <v>17</v>
      </c>
      <c r="C9" s="10" t="s">
        <v>18</v>
      </c>
      <c r="D9" s="11">
        <v>135</v>
      </c>
      <c r="E9" s="11">
        <v>86</v>
      </c>
      <c r="F9" s="10">
        <v>0</v>
      </c>
      <c r="G9" s="10"/>
    </row>
    <row r="10" spans="1:7" x14ac:dyDescent="0.3">
      <c r="A10" s="12" t="s">
        <v>26</v>
      </c>
      <c r="B10" s="12" t="s">
        <v>19</v>
      </c>
      <c r="C10" s="12" t="s">
        <v>20</v>
      </c>
      <c r="D10" s="13">
        <v>197</v>
      </c>
      <c r="E10" s="13"/>
      <c r="F10" s="12">
        <v>0</v>
      </c>
      <c r="G10" s="12" t="s">
        <v>24</v>
      </c>
    </row>
    <row r="11" spans="1:7" x14ac:dyDescent="0.3">
      <c r="A11" s="10" t="s">
        <v>26</v>
      </c>
      <c r="B11" s="10" t="s">
        <v>21</v>
      </c>
      <c r="C11" s="10" t="s">
        <v>22</v>
      </c>
      <c r="D11" s="11">
        <v>148</v>
      </c>
      <c r="E11" s="11">
        <v>119</v>
      </c>
      <c r="F11" s="10">
        <v>0</v>
      </c>
      <c r="G11" s="10"/>
    </row>
    <row r="12" spans="1:7" x14ac:dyDescent="0.3">
      <c r="A12" s="10" t="s">
        <v>27</v>
      </c>
      <c r="B12" s="10" t="s">
        <v>17</v>
      </c>
      <c r="C12" s="10" t="s">
        <v>18</v>
      </c>
      <c r="D12" s="11">
        <v>219</v>
      </c>
      <c r="E12" s="11">
        <v>146</v>
      </c>
      <c r="F12" s="10">
        <v>0</v>
      </c>
      <c r="G12" s="10"/>
    </row>
    <row r="13" spans="1:7" x14ac:dyDescent="0.3">
      <c r="A13" s="10" t="s">
        <v>27</v>
      </c>
      <c r="B13" s="10" t="s">
        <v>19</v>
      </c>
      <c r="C13" s="10" t="s">
        <v>20</v>
      </c>
      <c r="D13" s="11">
        <v>155</v>
      </c>
      <c r="E13" s="11">
        <v>89</v>
      </c>
      <c r="F13" s="10">
        <v>0</v>
      </c>
      <c r="G13" s="10"/>
    </row>
    <row r="14" spans="1:7" x14ac:dyDescent="0.3">
      <c r="A14" s="10" t="s">
        <v>27</v>
      </c>
      <c r="B14" s="10" t="s">
        <v>21</v>
      </c>
      <c r="C14" s="10" t="s">
        <v>22</v>
      </c>
      <c r="D14" s="11">
        <v>142</v>
      </c>
      <c r="E14" s="11">
        <v>102</v>
      </c>
      <c r="F14" s="10">
        <v>0</v>
      </c>
      <c r="G14" s="10"/>
    </row>
    <row r="15" spans="1:7" x14ac:dyDescent="0.3">
      <c r="A15" s="10" t="s">
        <v>28</v>
      </c>
      <c r="B15" s="10" t="s">
        <v>17</v>
      </c>
      <c r="C15" s="10" t="s">
        <v>18</v>
      </c>
      <c r="D15" s="11">
        <v>81</v>
      </c>
      <c r="E15" s="11">
        <v>41</v>
      </c>
      <c r="F15" s="10">
        <v>0</v>
      </c>
      <c r="G15" s="10"/>
    </row>
    <row r="16" spans="1:7" x14ac:dyDescent="0.3">
      <c r="A16" s="12" t="s">
        <v>28</v>
      </c>
      <c r="B16" s="12" t="s">
        <v>19</v>
      </c>
      <c r="C16" s="12" t="s">
        <v>20</v>
      </c>
      <c r="D16" s="13">
        <v>91</v>
      </c>
      <c r="E16" s="13">
        <v>42</v>
      </c>
      <c r="F16" s="12">
        <v>0</v>
      </c>
      <c r="G16" s="12" t="s">
        <v>25</v>
      </c>
    </row>
    <row r="17" spans="1:7" x14ac:dyDescent="0.3">
      <c r="A17" s="12" t="s">
        <v>28</v>
      </c>
      <c r="B17" s="12" t="s">
        <v>19</v>
      </c>
      <c r="C17" s="12" t="s">
        <v>20</v>
      </c>
      <c r="D17" s="13"/>
      <c r="E17" s="13">
        <v>45</v>
      </c>
      <c r="F17" s="12">
        <v>1</v>
      </c>
      <c r="G17" s="12" t="s">
        <v>29</v>
      </c>
    </row>
    <row r="18" spans="1:7" x14ac:dyDescent="0.3">
      <c r="A18" s="10" t="s">
        <v>28</v>
      </c>
      <c r="B18" s="10" t="s">
        <v>21</v>
      </c>
      <c r="C18" s="10" t="s">
        <v>22</v>
      </c>
      <c r="D18" s="11">
        <v>136</v>
      </c>
      <c r="E18" s="11">
        <v>75</v>
      </c>
      <c r="F18" s="10">
        <v>0</v>
      </c>
      <c r="G18" s="10"/>
    </row>
  </sheetData>
  <autoFilter ref="A1:G1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10" customWidth="1"/>
    <col min="3" max="3" width="14" customWidth="1"/>
    <col min="4" max="4" width="12" customWidth="1"/>
    <col min="5" max="5" width="11" customWidth="1"/>
    <col min="6" max="6" width="10" customWidth="1"/>
    <col min="7" max="8" width="14" customWidth="1"/>
    <col min="9" max="9" width="55" customWidth="1"/>
  </cols>
  <sheetData>
    <row r="1" spans="1:9" ht="27.6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30</v>
      </c>
      <c r="H1" s="9" t="s">
        <v>31</v>
      </c>
      <c r="I1" s="9" t="s">
        <v>32</v>
      </c>
    </row>
    <row r="2" spans="1:9" x14ac:dyDescent="0.3">
      <c r="A2" s="10" t="s">
        <v>16</v>
      </c>
      <c r="B2" s="10" t="s">
        <v>17</v>
      </c>
      <c r="C2" s="10" t="s">
        <v>18</v>
      </c>
      <c r="D2" s="14">
        <f>IFERROR(AVERAGEIFS('Données nettoyées'!$D$2:$D$18,'Données nettoyées'!$A$2:$A$18,$A2,'Données nettoyées'!$B$2:$B$18,$B2),"")</f>
        <v>108</v>
      </c>
      <c r="E2" s="14">
        <f>IFERROR(AVERAGEIFS('Données nettoyées'!$E$2:$E$18,'Données nettoyées'!$A$2:$A$18,$A2,'Données nettoyées'!$B$2:$B$18,$B2),"")</f>
        <v>85</v>
      </c>
      <c r="F2" s="10">
        <f>_xlfn.MAXIFS('Données nettoyées'!$F$2:$F$18,'Données nettoyées'!$A$2:$A$18,$A2,'Données nettoyées'!$B$2:$B$18,$B2)</f>
        <v>0</v>
      </c>
      <c r="G2" s="14">
        <f t="shared" ref="G2:G16" si="0">IF(OR($D2="",$E2=""),"",$D2-$E2)</f>
        <v>23</v>
      </c>
      <c r="H2" s="15">
        <f t="shared" ref="H2:H16" si="1">IF(OR($D2="",$E2=""),"",($D2-$E2)/$D2)</f>
        <v>0.21296296296296297</v>
      </c>
      <c r="I2" s="10"/>
    </row>
    <row r="3" spans="1:9" x14ac:dyDescent="0.3">
      <c r="A3" s="10" t="s">
        <v>16</v>
      </c>
      <c r="B3" s="10" t="s">
        <v>19</v>
      </c>
      <c r="C3" s="10" t="s">
        <v>20</v>
      </c>
      <c r="D3" s="14">
        <f>IFERROR(AVERAGEIFS('Données nettoyées'!$D$2:$D$18,'Données nettoyées'!$A$2:$A$18,$A3,'Données nettoyées'!$B$2:$B$18,$B3),"")</f>
        <v>119</v>
      </c>
      <c r="E3" s="14">
        <f>IFERROR(AVERAGEIFS('Données nettoyées'!$E$2:$E$18,'Données nettoyées'!$A$2:$A$18,$A3,'Données nettoyées'!$B$2:$B$18,$B3),"")</f>
        <v>72</v>
      </c>
      <c r="F3" s="10">
        <f>_xlfn.MAXIFS('Données nettoyées'!$F$2:$F$18,'Données nettoyées'!$A$2:$A$18,$A3,'Données nettoyées'!$B$2:$B$18,$B3)</f>
        <v>0</v>
      </c>
      <c r="G3" s="14">
        <f t="shared" si="0"/>
        <v>47</v>
      </c>
      <c r="H3" s="15">
        <f t="shared" si="1"/>
        <v>0.3949579831932773</v>
      </c>
      <c r="I3" s="10"/>
    </row>
    <row r="4" spans="1:9" x14ac:dyDescent="0.3">
      <c r="A4" s="10" t="s">
        <v>16</v>
      </c>
      <c r="B4" s="10" t="s">
        <v>21</v>
      </c>
      <c r="C4" s="10" t="s">
        <v>22</v>
      </c>
      <c r="D4" s="14">
        <f>IFERROR(AVERAGEIFS('Données nettoyées'!$D$2:$D$18,'Données nettoyées'!$A$2:$A$18,$A4,'Données nettoyées'!$B$2:$B$18,$B4),"")</f>
        <v>105</v>
      </c>
      <c r="E4" s="14">
        <f>IFERROR(AVERAGEIFS('Données nettoyées'!$E$2:$E$18,'Données nettoyées'!$A$2:$A$18,$A4,'Données nettoyées'!$B$2:$B$18,$B4),"")</f>
        <v>37</v>
      </c>
      <c r="F4" s="10">
        <f>_xlfn.MAXIFS('Données nettoyées'!$F$2:$F$18,'Données nettoyées'!$A$2:$A$18,$A4,'Données nettoyées'!$B$2:$B$18,$B4)</f>
        <v>0</v>
      </c>
      <c r="G4" s="14">
        <f t="shared" si="0"/>
        <v>68</v>
      </c>
      <c r="H4" s="15">
        <f t="shared" si="1"/>
        <v>0.64761904761904765</v>
      </c>
      <c r="I4" s="10"/>
    </row>
    <row r="5" spans="1:9" x14ac:dyDescent="0.3">
      <c r="A5" s="12" t="s">
        <v>23</v>
      </c>
      <c r="B5" s="12" t="s">
        <v>17</v>
      </c>
      <c r="C5" s="12" t="s">
        <v>18</v>
      </c>
      <c r="D5" s="16">
        <f>IFERROR(AVERAGEIFS('Données nettoyées'!$D$2:$D$18,'Données nettoyées'!$A$2:$A$18,$A5,'Données nettoyées'!$B$2:$B$18,$B5),"")</f>
        <v>106</v>
      </c>
      <c r="E5" s="16" t="str">
        <f>IFERROR(AVERAGEIFS('Données nettoyées'!$E$2:$E$18,'Données nettoyées'!$A$2:$A$18,$A5,'Données nettoyées'!$B$2:$B$18,$B5),"")</f>
        <v/>
      </c>
      <c r="F5" s="12">
        <f>_xlfn.MAXIFS('Données nettoyées'!$F$2:$F$18,'Données nettoyées'!$A$2:$A$18,$A5,'Données nettoyées'!$B$2:$B$18,$B5)</f>
        <v>0</v>
      </c>
      <c r="G5" s="16" t="str">
        <f t="shared" si="0"/>
        <v/>
      </c>
      <c r="H5" s="17" t="str">
        <f t="shared" si="1"/>
        <v/>
      </c>
      <c r="I5" s="12" t="s">
        <v>33</v>
      </c>
    </row>
    <row r="6" spans="1:9" x14ac:dyDescent="0.3">
      <c r="A6" s="10" t="s">
        <v>23</v>
      </c>
      <c r="B6" s="10" t="s">
        <v>19</v>
      </c>
      <c r="C6" s="10" t="s">
        <v>20</v>
      </c>
      <c r="D6" s="14">
        <f>IFERROR(AVERAGEIFS('Données nettoyées'!$D$2:$D$18,'Données nettoyées'!$A$2:$A$18,$A6,'Données nettoyées'!$B$2:$B$18,$B6),"")</f>
        <v>104</v>
      </c>
      <c r="E6" s="14">
        <f>IFERROR(AVERAGEIFS('Données nettoyées'!$E$2:$E$18,'Données nettoyées'!$A$2:$A$18,$A6,'Données nettoyées'!$B$2:$B$18,$B6),"")</f>
        <v>39</v>
      </c>
      <c r="F6" s="10">
        <f>_xlfn.MAXIFS('Données nettoyées'!$F$2:$F$18,'Données nettoyées'!$A$2:$A$18,$A6,'Données nettoyées'!$B$2:$B$18,$B6)</f>
        <v>0</v>
      </c>
      <c r="G6" s="14">
        <f t="shared" si="0"/>
        <v>65</v>
      </c>
      <c r="H6" s="15">
        <f t="shared" si="1"/>
        <v>0.625</v>
      </c>
      <c r="I6" s="10"/>
    </row>
    <row r="7" spans="1:9" x14ac:dyDescent="0.3">
      <c r="A7" s="12" t="s">
        <v>23</v>
      </c>
      <c r="B7" s="12" t="s">
        <v>21</v>
      </c>
      <c r="C7" s="12" t="s">
        <v>22</v>
      </c>
      <c r="D7" s="16">
        <f>IFERROR(AVERAGEIFS('Données nettoyées'!$D$2:$D$18,'Données nettoyées'!$A$2:$A$18,$A7,'Données nettoyées'!$B$2:$B$18,$B7),"")</f>
        <v>156.5</v>
      </c>
      <c r="E7" s="16">
        <f>IFERROR(AVERAGEIFS('Données nettoyées'!$E$2:$E$18,'Données nettoyées'!$A$2:$A$18,$A7,'Données nettoyées'!$B$2:$B$18,$B7),"")</f>
        <v>85.5</v>
      </c>
      <c r="F7" s="12">
        <f>_xlfn.MAXIFS('Données nettoyées'!$F$2:$F$18,'Données nettoyées'!$A$2:$A$18,$A7,'Données nettoyées'!$B$2:$B$18,$B7)</f>
        <v>0</v>
      </c>
      <c r="G7" s="16">
        <f t="shared" si="0"/>
        <v>71</v>
      </c>
      <c r="H7" s="17">
        <f t="shared" si="1"/>
        <v>0.45367412140575081</v>
      </c>
      <c r="I7" s="12" t="s">
        <v>34</v>
      </c>
    </row>
    <row r="8" spans="1:9" x14ac:dyDescent="0.3">
      <c r="A8" s="10" t="s">
        <v>26</v>
      </c>
      <c r="B8" s="10" t="s">
        <v>17</v>
      </c>
      <c r="C8" s="10" t="s">
        <v>18</v>
      </c>
      <c r="D8" s="14">
        <f>IFERROR(AVERAGEIFS('Données nettoyées'!$D$2:$D$18,'Données nettoyées'!$A$2:$A$18,$A8,'Données nettoyées'!$B$2:$B$18,$B8),"")</f>
        <v>135</v>
      </c>
      <c r="E8" s="14">
        <f>IFERROR(AVERAGEIFS('Données nettoyées'!$E$2:$E$18,'Données nettoyées'!$A$2:$A$18,$A8,'Données nettoyées'!$B$2:$B$18,$B8),"")</f>
        <v>86</v>
      </c>
      <c r="F8" s="10">
        <f>_xlfn.MAXIFS('Données nettoyées'!$F$2:$F$18,'Données nettoyées'!$A$2:$A$18,$A8,'Données nettoyées'!$B$2:$B$18,$B8)</f>
        <v>0</v>
      </c>
      <c r="G8" s="14">
        <f t="shared" si="0"/>
        <v>49</v>
      </c>
      <c r="H8" s="15">
        <f t="shared" si="1"/>
        <v>0.36296296296296299</v>
      </c>
      <c r="I8" s="10"/>
    </row>
    <row r="9" spans="1:9" x14ac:dyDescent="0.3">
      <c r="A9" s="12" t="s">
        <v>26</v>
      </c>
      <c r="B9" s="12" t="s">
        <v>19</v>
      </c>
      <c r="C9" s="12" t="s">
        <v>20</v>
      </c>
      <c r="D9" s="16">
        <f>IFERROR(AVERAGEIFS('Données nettoyées'!$D$2:$D$18,'Données nettoyées'!$A$2:$A$18,$A9,'Données nettoyées'!$B$2:$B$18,$B9),"")</f>
        <v>197</v>
      </c>
      <c r="E9" s="16" t="str">
        <f>IFERROR(AVERAGEIFS('Données nettoyées'!$E$2:$E$18,'Données nettoyées'!$A$2:$A$18,$A9,'Données nettoyées'!$B$2:$B$18,$B9),"")</f>
        <v/>
      </c>
      <c r="F9" s="12">
        <f>_xlfn.MAXIFS('Données nettoyées'!$F$2:$F$18,'Données nettoyées'!$A$2:$A$18,$A9,'Données nettoyées'!$B$2:$B$18,$B9)</f>
        <v>0</v>
      </c>
      <c r="G9" s="16" t="str">
        <f t="shared" si="0"/>
        <v/>
      </c>
      <c r="H9" s="17" t="str">
        <f t="shared" si="1"/>
        <v/>
      </c>
      <c r="I9" s="12" t="s">
        <v>33</v>
      </c>
    </row>
    <row r="10" spans="1:9" x14ac:dyDescent="0.3">
      <c r="A10" s="10" t="s">
        <v>26</v>
      </c>
      <c r="B10" s="10" t="s">
        <v>21</v>
      </c>
      <c r="C10" s="10" t="s">
        <v>22</v>
      </c>
      <c r="D10" s="14">
        <f>IFERROR(AVERAGEIFS('Données nettoyées'!$D$2:$D$18,'Données nettoyées'!$A$2:$A$18,$A10,'Données nettoyées'!$B$2:$B$18,$B10),"")</f>
        <v>148</v>
      </c>
      <c r="E10" s="14">
        <f>IFERROR(AVERAGEIFS('Données nettoyées'!$E$2:$E$18,'Données nettoyées'!$A$2:$A$18,$A10,'Données nettoyées'!$B$2:$B$18,$B10),"")</f>
        <v>119</v>
      </c>
      <c r="F10" s="10">
        <f>_xlfn.MAXIFS('Données nettoyées'!$F$2:$F$18,'Données nettoyées'!$A$2:$A$18,$A10,'Données nettoyées'!$B$2:$B$18,$B10)</f>
        <v>0</v>
      </c>
      <c r="G10" s="14">
        <f t="shared" si="0"/>
        <v>29</v>
      </c>
      <c r="H10" s="15">
        <f t="shared" si="1"/>
        <v>0.19594594594594594</v>
      </c>
      <c r="I10" s="10"/>
    </row>
    <row r="11" spans="1:9" x14ac:dyDescent="0.3">
      <c r="A11" s="10" t="s">
        <v>27</v>
      </c>
      <c r="B11" s="10" t="s">
        <v>17</v>
      </c>
      <c r="C11" s="10" t="s">
        <v>18</v>
      </c>
      <c r="D11" s="14">
        <f>IFERROR(AVERAGEIFS('Données nettoyées'!$D$2:$D$18,'Données nettoyées'!$A$2:$A$18,$A11,'Données nettoyées'!$B$2:$B$18,$B11),"")</f>
        <v>219</v>
      </c>
      <c r="E11" s="14">
        <f>IFERROR(AVERAGEIFS('Données nettoyées'!$E$2:$E$18,'Données nettoyées'!$A$2:$A$18,$A11,'Données nettoyées'!$B$2:$B$18,$B11),"")</f>
        <v>146</v>
      </c>
      <c r="F11" s="10">
        <f>_xlfn.MAXIFS('Données nettoyées'!$F$2:$F$18,'Données nettoyées'!$A$2:$A$18,$A11,'Données nettoyées'!$B$2:$B$18,$B11)</f>
        <v>0</v>
      </c>
      <c r="G11" s="14">
        <f t="shared" si="0"/>
        <v>73</v>
      </c>
      <c r="H11" s="15">
        <f t="shared" si="1"/>
        <v>0.33333333333333331</v>
      </c>
      <c r="I11" s="10"/>
    </row>
    <row r="12" spans="1:9" x14ac:dyDescent="0.3">
      <c r="A12" s="10" t="s">
        <v>27</v>
      </c>
      <c r="B12" s="10" t="s">
        <v>19</v>
      </c>
      <c r="C12" s="10" t="s">
        <v>20</v>
      </c>
      <c r="D12" s="14">
        <f>IFERROR(AVERAGEIFS('Données nettoyées'!$D$2:$D$18,'Données nettoyées'!$A$2:$A$18,$A12,'Données nettoyées'!$B$2:$B$18,$B12),"")</f>
        <v>155</v>
      </c>
      <c r="E12" s="14">
        <f>IFERROR(AVERAGEIFS('Données nettoyées'!$E$2:$E$18,'Données nettoyées'!$A$2:$A$18,$A12,'Données nettoyées'!$B$2:$B$18,$B12),"")</f>
        <v>89</v>
      </c>
      <c r="F12" s="10">
        <f>_xlfn.MAXIFS('Données nettoyées'!$F$2:$F$18,'Données nettoyées'!$A$2:$A$18,$A12,'Données nettoyées'!$B$2:$B$18,$B12)</f>
        <v>0</v>
      </c>
      <c r="G12" s="14">
        <f t="shared" si="0"/>
        <v>66</v>
      </c>
      <c r="H12" s="15">
        <f t="shared" si="1"/>
        <v>0.4258064516129032</v>
      </c>
      <c r="I12" s="10"/>
    </row>
    <row r="13" spans="1:9" x14ac:dyDescent="0.3">
      <c r="A13" s="10" t="s">
        <v>27</v>
      </c>
      <c r="B13" s="10" t="s">
        <v>21</v>
      </c>
      <c r="C13" s="10" t="s">
        <v>22</v>
      </c>
      <c r="D13" s="14">
        <f>IFERROR(AVERAGEIFS('Données nettoyées'!$D$2:$D$18,'Données nettoyées'!$A$2:$A$18,$A13,'Données nettoyées'!$B$2:$B$18,$B13),"")</f>
        <v>142</v>
      </c>
      <c r="E13" s="14">
        <f>IFERROR(AVERAGEIFS('Données nettoyées'!$E$2:$E$18,'Données nettoyées'!$A$2:$A$18,$A13,'Données nettoyées'!$B$2:$B$18,$B13),"")</f>
        <v>102</v>
      </c>
      <c r="F13" s="10">
        <f>_xlfn.MAXIFS('Données nettoyées'!$F$2:$F$18,'Données nettoyées'!$A$2:$A$18,$A13,'Données nettoyées'!$B$2:$B$18,$B13)</f>
        <v>0</v>
      </c>
      <c r="G13" s="14">
        <f t="shared" si="0"/>
        <v>40</v>
      </c>
      <c r="H13" s="15">
        <f t="shared" si="1"/>
        <v>0.28169014084507044</v>
      </c>
      <c r="I13" s="10"/>
    </row>
    <row r="14" spans="1:9" x14ac:dyDescent="0.3">
      <c r="A14" s="10" t="s">
        <v>28</v>
      </c>
      <c r="B14" s="10" t="s">
        <v>17</v>
      </c>
      <c r="C14" s="10" t="s">
        <v>18</v>
      </c>
      <c r="D14" s="14">
        <f>IFERROR(AVERAGEIFS('Données nettoyées'!$D$2:$D$18,'Données nettoyées'!$A$2:$A$18,$A14,'Données nettoyées'!$B$2:$B$18,$B14),"")</f>
        <v>81</v>
      </c>
      <c r="E14" s="14">
        <f>IFERROR(AVERAGEIFS('Données nettoyées'!$E$2:$E$18,'Données nettoyées'!$A$2:$A$18,$A14,'Données nettoyées'!$B$2:$B$18,$B14),"")</f>
        <v>41</v>
      </c>
      <c r="F14" s="10">
        <f>_xlfn.MAXIFS('Données nettoyées'!$F$2:$F$18,'Données nettoyées'!$A$2:$A$18,$A14,'Données nettoyées'!$B$2:$B$18,$B14)</f>
        <v>0</v>
      </c>
      <c r="G14" s="14">
        <f t="shared" si="0"/>
        <v>40</v>
      </c>
      <c r="H14" s="15">
        <f t="shared" si="1"/>
        <v>0.49382716049382713</v>
      </c>
      <c r="I14" s="10"/>
    </row>
    <row r="15" spans="1:9" x14ac:dyDescent="0.3">
      <c r="A15" s="12" t="s">
        <v>28</v>
      </c>
      <c r="B15" s="12" t="s">
        <v>19</v>
      </c>
      <c r="C15" s="12" t="s">
        <v>20</v>
      </c>
      <c r="D15" s="16">
        <f>IFERROR(AVERAGEIFS('Données nettoyées'!$D$2:$D$18,'Données nettoyées'!$A$2:$A$18,$A15,'Données nettoyées'!$B$2:$B$18,$B15),"")</f>
        <v>91</v>
      </c>
      <c r="E15" s="16">
        <f>IFERROR(AVERAGEIFS('Données nettoyées'!$E$2:$E$18,'Données nettoyées'!$A$2:$A$18,$A15,'Données nettoyées'!$B$2:$B$18,$B15),"")</f>
        <v>43.5</v>
      </c>
      <c r="F15" s="12">
        <f>_xlfn.MAXIFS('Données nettoyées'!$F$2:$F$18,'Données nettoyées'!$A$2:$A$18,$A15,'Données nettoyées'!$B$2:$B$18,$B15)</f>
        <v>1</v>
      </c>
      <c r="G15" s="16">
        <f t="shared" si="0"/>
        <v>47.5</v>
      </c>
      <c r="H15" s="17">
        <f t="shared" si="1"/>
        <v>0.52197802197802201</v>
      </c>
      <c r="I15" s="12" t="s">
        <v>35</v>
      </c>
    </row>
    <row r="16" spans="1:9" x14ac:dyDescent="0.3">
      <c r="A16" s="10" t="s">
        <v>28</v>
      </c>
      <c r="B16" s="10" t="s">
        <v>21</v>
      </c>
      <c r="C16" s="10" t="s">
        <v>22</v>
      </c>
      <c r="D16" s="14">
        <f>IFERROR(AVERAGEIFS('Données nettoyées'!$D$2:$D$18,'Données nettoyées'!$A$2:$A$18,$A16,'Données nettoyées'!$B$2:$B$18,$B16),"")</f>
        <v>136</v>
      </c>
      <c r="E16" s="14">
        <f>IFERROR(AVERAGEIFS('Données nettoyées'!$E$2:$E$18,'Données nettoyées'!$A$2:$A$18,$A16,'Données nettoyées'!$B$2:$B$18,$B16),"")</f>
        <v>75</v>
      </c>
      <c r="F16" s="10">
        <f>_xlfn.MAXIFS('Données nettoyées'!$F$2:$F$18,'Données nettoyées'!$A$2:$A$18,$A16,'Données nettoyées'!$B$2:$B$18,$B16)</f>
        <v>0</v>
      </c>
      <c r="G16" s="14">
        <f t="shared" si="0"/>
        <v>61</v>
      </c>
      <c r="H16" s="15">
        <f t="shared" si="1"/>
        <v>0.4485294117647059</v>
      </c>
      <c r="I16" s="10"/>
    </row>
  </sheetData>
  <autoFilter ref="A1:I1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16" customWidth="1"/>
    <col min="3" max="5" width="20" customWidth="1"/>
    <col min="6" max="6" width="24" customWidth="1"/>
    <col min="7" max="7" width="30" customWidth="1"/>
  </cols>
  <sheetData>
    <row r="1" spans="1:7" ht="16.8" x14ac:dyDescent="0.3">
      <c r="A1" s="18" t="s">
        <v>36</v>
      </c>
    </row>
    <row r="3" spans="1:7" ht="27.6" x14ac:dyDescent="0.3">
      <c r="A3" s="9" t="s">
        <v>10</v>
      </c>
      <c r="B3" s="9" t="s">
        <v>11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</row>
    <row r="4" spans="1:7" x14ac:dyDescent="0.3">
      <c r="A4" s="10" t="s">
        <v>17</v>
      </c>
      <c r="B4" s="10" t="s">
        <v>18</v>
      </c>
      <c r="C4" s="14">
        <f>SUMIF('Données consolidées'!$B$2:$B$16,$A4,'Données consolidées'!$D$2:$D$16)</f>
        <v>649</v>
      </c>
      <c r="D4" s="14">
        <f>SUMIF('Données consolidées'!$B$2:$B$16,$A4,'Données consolidées'!$E$2:$E$16)</f>
        <v>358</v>
      </c>
      <c r="E4" s="14">
        <f>SUMIF('Données consolidées'!$B$2:$B$16,$A4,'Données consolidées'!$G$2:$G$16)</f>
        <v>185</v>
      </c>
      <c r="F4" s="15">
        <f>IF(C4=0,"",E4/C4)</f>
        <v>0.28505392912172572</v>
      </c>
      <c r="G4" s="15"/>
    </row>
    <row r="5" spans="1:7" x14ac:dyDescent="0.3">
      <c r="A5" s="10" t="s">
        <v>19</v>
      </c>
      <c r="B5" s="10" t="s">
        <v>20</v>
      </c>
      <c r="C5" s="14">
        <f>SUMIF('Données consolidées'!$B$2:$B$16,$A5,'Données consolidées'!$D$2:$D$16)</f>
        <v>666</v>
      </c>
      <c r="D5" s="14">
        <f>SUMIF('Données consolidées'!$B$2:$B$16,$A5,'Données consolidées'!$E$2:$E$16)</f>
        <v>243.5</v>
      </c>
      <c r="E5" s="14">
        <f>SUMIF('Données consolidées'!$B$2:$B$16,$A5,'Données consolidées'!$G$2:$G$16)</f>
        <v>225.5</v>
      </c>
      <c r="F5" s="15">
        <f>IF(C5=0,"",E5/C5)</f>
        <v>0.33858858858858859</v>
      </c>
      <c r="G5" s="15">
        <f>IF(E4=0,"",(E5-E4)/E4)</f>
        <v>0.21891891891891893</v>
      </c>
    </row>
    <row r="6" spans="1:7" x14ac:dyDescent="0.3">
      <c r="A6" s="10" t="s">
        <v>21</v>
      </c>
      <c r="B6" s="10" t="s">
        <v>22</v>
      </c>
      <c r="C6" s="14">
        <f>SUMIF('Données consolidées'!$B$2:$B$16,$A6,'Données consolidées'!$D$2:$D$16)</f>
        <v>687.5</v>
      </c>
      <c r="D6" s="14">
        <f>SUMIF('Données consolidées'!$B$2:$B$16,$A6,'Données consolidées'!$E$2:$E$16)</f>
        <v>418.5</v>
      </c>
      <c r="E6" s="14">
        <f>SUMIF('Données consolidées'!$B$2:$B$16,$A6,'Données consolidées'!$G$2:$G$16)</f>
        <v>269</v>
      </c>
      <c r="F6" s="15">
        <f>IF(C6=0,"",E6/C6)</f>
        <v>0.39127272727272727</v>
      </c>
      <c r="G6" s="15">
        <f>IF(E5=0,"",(E6-E5)/E5)</f>
        <v>0.19290465631929046</v>
      </c>
    </row>
    <row r="9" spans="1:7" ht="16.8" x14ac:dyDescent="0.3">
      <c r="A9" s="18" t="s">
        <v>42</v>
      </c>
    </row>
    <row r="10" spans="1:7" ht="41.4" x14ac:dyDescent="0.3">
      <c r="A10" s="9" t="s">
        <v>9</v>
      </c>
      <c r="B10" s="9" t="s">
        <v>43</v>
      </c>
      <c r="C10" s="9" t="s">
        <v>44</v>
      </c>
      <c r="D10" s="9" t="s">
        <v>45</v>
      </c>
      <c r="E10" s="9" t="s">
        <v>46</v>
      </c>
      <c r="F10" s="9" t="s">
        <v>47</v>
      </c>
    </row>
    <row r="11" spans="1:7" x14ac:dyDescent="0.3">
      <c r="A11" s="10" t="s">
        <v>16</v>
      </c>
      <c r="B11" s="14">
        <f>IFERROR(AVERAGEIF('Données consolidées'!$A$2:$A$16,$A11,'Données consolidées'!$G$2:$G$16),"")</f>
        <v>46</v>
      </c>
      <c r="C11" s="15">
        <f>IFERROR(AVERAGEIF('Données consolidées'!$A$2:$A$16,$A11,'Données consolidées'!$H$2:$H$16),"")</f>
        <v>0.41851333125842932</v>
      </c>
      <c r="D11" s="14">
        <f>IFERROR(_xlfn.MAXIFS('Données consolidées'!$E$2:$E$16,'Données consolidées'!$A$2:$A$16,$A11,'Données consolidées'!$B$2:$B$16,"2026-03"),"")</f>
        <v>37</v>
      </c>
      <c r="E11" s="14">
        <f>IFERROR(_xlfn.MAXIFS('Données consolidées'!$G$2:$G$16,'Données consolidées'!$A$2:$A$16,$A11,'Données consolidées'!$B$2:$B$16,"2026-03"),"")</f>
        <v>68</v>
      </c>
      <c r="F11" s="11">
        <f>IF(OR($E11="",$E11=0),"",$D11/$E11*30)</f>
        <v>16.323529411764703</v>
      </c>
    </row>
    <row r="12" spans="1:7" x14ac:dyDescent="0.3">
      <c r="A12" s="10" t="s">
        <v>23</v>
      </c>
      <c r="B12" s="14">
        <f>IFERROR(AVERAGEIF('Données consolidées'!$A$2:$A$16,$A12,'Données consolidées'!$G$2:$G$16),"")</f>
        <v>68</v>
      </c>
      <c r="C12" s="15">
        <f>IFERROR(AVERAGEIF('Données consolidées'!$A$2:$A$16,$A12,'Données consolidées'!$H$2:$H$16),"")</f>
        <v>0.53933706070287535</v>
      </c>
      <c r="D12" s="14">
        <f>IFERROR(_xlfn.MAXIFS('Données consolidées'!$E$2:$E$16,'Données consolidées'!$A$2:$A$16,$A12,'Données consolidées'!$B$2:$B$16,"2026-03"),"")</f>
        <v>85.5</v>
      </c>
      <c r="E12" s="14">
        <f>IFERROR(_xlfn.MAXIFS('Données consolidées'!$G$2:$G$16,'Données consolidées'!$A$2:$A$16,$A12,'Données consolidées'!$B$2:$B$16,"2026-03"),"")</f>
        <v>71</v>
      </c>
      <c r="F12" s="11">
        <f>IF(OR($E12="",$E12=0),"",$D12/$E12*30)</f>
        <v>36.12676056338028</v>
      </c>
    </row>
    <row r="13" spans="1:7" x14ac:dyDescent="0.3">
      <c r="A13" s="10" t="s">
        <v>26</v>
      </c>
      <c r="B13" s="14">
        <f>IFERROR(AVERAGEIF('Données consolidées'!$A$2:$A$16,$A13,'Données consolidées'!$G$2:$G$16),"")</f>
        <v>39</v>
      </c>
      <c r="C13" s="15">
        <f>IFERROR(AVERAGEIF('Données consolidées'!$A$2:$A$16,$A13,'Données consolidées'!$H$2:$H$16),"")</f>
        <v>0.27945445445445449</v>
      </c>
      <c r="D13" s="14">
        <f>IFERROR(_xlfn.MAXIFS('Données consolidées'!$E$2:$E$16,'Données consolidées'!$A$2:$A$16,$A13,'Données consolidées'!$B$2:$B$16,"2026-03"),"")</f>
        <v>119</v>
      </c>
      <c r="E13" s="14">
        <f>IFERROR(_xlfn.MAXIFS('Données consolidées'!$G$2:$G$16,'Données consolidées'!$A$2:$A$16,$A13,'Données consolidées'!$B$2:$B$16,"2026-03"),"")</f>
        <v>29</v>
      </c>
      <c r="F13" s="11">
        <f>IF(OR($E13="",$E13=0),"",$D13/$E13*30)</f>
        <v>123.10344827586208</v>
      </c>
    </row>
    <row r="14" spans="1:7" x14ac:dyDescent="0.3">
      <c r="A14" s="10" t="s">
        <v>27</v>
      </c>
      <c r="B14" s="14">
        <f>IFERROR(AVERAGEIF('Données consolidées'!$A$2:$A$16,$A14,'Données consolidées'!$G$2:$G$16),"")</f>
        <v>59.666666666666664</v>
      </c>
      <c r="C14" s="15">
        <f>IFERROR(AVERAGEIF('Données consolidées'!$A$2:$A$16,$A14,'Données consolidées'!$H$2:$H$16),"")</f>
        <v>0.34694330859710232</v>
      </c>
      <c r="D14" s="14">
        <f>IFERROR(_xlfn.MAXIFS('Données consolidées'!$E$2:$E$16,'Données consolidées'!$A$2:$A$16,$A14,'Données consolidées'!$B$2:$B$16,"2026-03"),"")</f>
        <v>102</v>
      </c>
      <c r="E14" s="14">
        <f>IFERROR(_xlfn.MAXIFS('Données consolidées'!$G$2:$G$16,'Données consolidées'!$A$2:$A$16,$A14,'Données consolidées'!$B$2:$B$16,"2026-03"),"")</f>
        <v>40</v>
      </c>
      <c r="F14" s="11">
        <f>IF(OR($E14="",$E14=0),"",$D14/$E14*30)</f>
        <v>76.5</v>
      </c>
    </row>
    <row r="15" spans="1:7" x14ac:dyDescent="0.3">
      <c r="A15" s="10" t="s">
        <v>28</v>
      </c>
      <c r="B15" s="14">
        <f>IFERROR(AVERAGEIF('Données consolidées'!$A$2:$A$16,$A15,'Données consolidées'!$G$2:$G$16),"")</f>
        <v>49.5</v>
      </c>
      <c r="C15" s="15">
        <f>IFERROR(AVERAGEIF('Données consolidées'!$A$2:$A$16,$A15,'Données consolidées'!$H$2:$H$16),"")</f>
        <v>0.48811153141218494</v>
      </c>
      <c r="D15" s="14">
        <f>IFERROR(_xlfn.MAXIFS('Données consolidées'!$E$2:$E$16,'Données consolidées'!$A$2:$A$16,$A15,'Données consolidées'!$B$2:$B$16,"2026-03"),"")</f>
        <v>75</v>
      </c>
      <c r="E15" s="14">
        <f>IFERROR(_xlfn.MAXIFS('Données consolidées'!$G$2:$G$16,'Données consolidées'!$A$2:$A$16,$A15,'Données consolidées'!$B$2:$B$16,"2026-03"),"")</f>
        <v>61</v>
      </c>
      <c r="F15" s="11">
        <f>IF(OR($E15="",$E15=0),"",$D15/$E15*30)</f>
        <v>36.885245901639344</v>
      </c>
    </row>
  </sheetData>
  <conditionalFormatting sqref="F11:F15">
    <cfRule type="cellIs" dxfId="0" priority="2" operator="less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zoomScaleNormal="100" workbookViewId="0"/>
  </sheetViews>
  <sheetFormatPr baseColWidth="10" defaultColWidth="8.6640625" defaultRowHeight="14.4" x14ac:dyDescent="0.3"/>
  <cols>
    <col min="1" max="1" width="16" customWidth="1"/>
    <col min="2" max="6" width="13" customWidth="1"/>
  </cols>
  <sheetData>
    <row r="1" spans="1:6" ht="15.6" x14ac:dyDescent="0.3">
      <c r="A1" s="19" t="s">
        <v>48</v>
      </c>
    </row>
    <row r="2" spans="1:6" x14ac:dyDescent="0.3">
      <c r="A2" s="9" t="s">
        <v>11</v>
      </c>
      <c r="B2" s="9" t="s">
        <v>16</v>
      </c>
      <c r="C2" s="9" t="s">
        <v>23</v>
      </c>
      <c r="D2" s="9" t="s">
        <v>26</v>
      </c>
      <c r="E2" s="9" t="s">
        <v>27</v>
      </c>
      <c r="F2" s="9" t="s">
        <v>28</v>
      </c>
    </row>
    <row r="3" spans="1:6" x14ac:dyDescent="0.3">
      <c r="A3" t="s">
        <v>18</v>
      </c>
      <c r="B3" s="14">
        <f>SUMIFS('Données consolidées'!$E$2:$E$16,'Données consolidées'!$B$2:$B$16,"2026-01",'Données consolidées'!$A$2:$A$16,"Centre 1")</f>
        <v>85</v>
      </c>
      <c r="C3" s="14">
        <f>SUMIFS('Données consolidées'!$E$2:$E$16,'Données consolidées'!$B$2:$B$16,"2026-01",'Données consolidées'!$A$2:$A$16,"Centre 2")</f>
        <v>0</v>
      </c>
      <c r="D3" s="14">
        <f>SUMIFS('Données consolidées'!$E$2:$E$16,'Données consolidées'!$B$2:$B$16,"2026-01",'Données consolidées'!$A$2:$A$16,"Centre 3")</f>
        <v>86</v>
      </c>
      <c r="E3" s="14">
        <f>SUMIFS('Données consolidées'!$E$2:$E$16,'Données consolidées'!$B$2:$B$16,"2026-01",'Données consolidées'!$A$2:$A$16,"Centre 4")</f>
        <v>146</v>
      </c>
      <c r="F3" s="14">
        <f>SUMIFS('Données consolidées'!$E$2:$E$16,'Données consolidées'!$B$2:$B$16,"2026-01",'Données consolidées'!$A$2:$A$16,"Centre 5")</f>
        <v>41</v>
      </c>
    </row>
    <row r="4" spans="1:6" x14ac:dyDescent="0.3">
      <c r="A4" t="s">
        <v>20</v>
      </c>
      <c r="B4" s="14">
        <f>SUMIFS('Données consolidées'!$E$2:$E$16,'Données consolidées'!$B$2:$B$16,"2026-02",'Données consolidées'!$A$2:$A$16,"Centre 1")</f>
        <v>72</v>
      </c>
      <c r="C4" s="14">
        <f>SUMIFS('Données consolidées'!$E$2:$E$16,'Données consolidées'!$B$2:$B$16,"2026-02",'Données consolidées'!$A$2:$A$16,"Centre 2")</f>
        <v>39</v>
      </c>
      <c r="D4" s="14">
        <f>SUMIFS('Données consolidées'!$E$2:$E$16,'Données consolidées'!$B$2:$B$16,"2026-02",'Données consolidées'!$A$2:$A$16,"Centre 3")</f>
        <v>0</v>
      </c>
      <c r="E4" s="14">
        <f>SUMIFS('Données consolidées'!$E$2:$E$16,'Données consolidées'!$B$2:$B$16,"2026-02",'Données consolidées'!$A$2:$A$16,"Centre 4")</f>
        <v>89</v>
      </c>
      <c r="F4" s="14">
        <f>SUMIFS('Données consolidées'!$E$2:$E$16,'Données consolidées'!$B$2:$B$16,"2026-02",'Données consolidées'!$A$2:$A$16,"Centre 5")</f>
        <v>43.5</v>
      </c>
    </row>
    <row r="5" spans="1:6" x14ac:dyDescent="0.3">
      <c r="A5" t="s">
        <v>22</v>
      </c>
      <c r="B5" s="14">
        <f>SUMIFS('Données consolidées'!$E$2:$E$16,'Données consolidées'!$B$2:$B$16,"2026-03",'Données consolidées'!$A$2:$A$16,"Centre 1")</f>
        <v>37</v>
      </c>
      <c r="C5" s="14">
        <f>SUMIFS('Données consolidées'!$E$2:$E$16,'Données consolidées'!$B$2:$B$16,"2026-03",'Données consolidées'!$A$2:$A$16,"Centre 2")</f>
        <v>85.5</v>
      </c>
      <c r="D5" s="14">
        <f>SUMIFS('Données consolidées'!$E$2:$E$16,'Données consolidées'!$B$2:$B$16,"2026-03",'Données consolidées'!$A$2:$A$16,"Centre 3")</f>
        <v>119</v>
      </c>
      <c r="E5" s="14">
        <f>SUMIFS('Données consolidées'!$E$2:$E$16,'Données consolidées'!$B$2:$B$16,"2026-03",'Données consolidées'!$A$2:$A$16,"Centre 4")</f>
        <v>102</v>
      </c>
      <c r="F5" s="14">
        <f>SUMIFS('Données consolidées'!$E$2:$E$16,'Données consolidées'!$B$2:$B$16,"2026-03",'Données consolidées'!$A$2:$A$16,"Centre 5")</f>
        <v>75</v>
      </c>
    </row>
    <row r="8" spans="1:6" ht="15.6" x14ac:dyDescent="0.3">
      <c r="A8" s="19" t="s">
        <v>49</v>
      </c>
    </row>
    <row r="9" spans="1:6" x14ac:dyDescent="0.3">
      <c r="A9" s="9" t="s">
        <v>11</v>
      </c>
      <c r="B9" s="9" t="s">
        <v>16</v>
      </c>
      <c r="C9" s="9" t="s">
        <v>23</v>
      </c>
      <c r="D9" s="9" t="s">
        <v>26</v>
      </c>
      <c r="E9" s="9" t="s">
        <v>27</v>
      </c>
      <c r="F9" s="9" t="s">
        <v>28</v>
      </c>
    </row>
    <row r="10" spans="1:6" x14ac:dyDescent="0.3">
      <c r="A10" t="s">
        <v>18</v>
      </c>
      <c r="B10" s="14">
        <f>SUMIFS('Données consolidées'!$G$2:$G$16,'Données consolidées'!$B$2:$B$16,"2026-01",'Données consolidées'!$A$2:$A$16,"Centre 1")</f>
        <v>23</v>
      </c>
      <c r="C10" s="14">
        <f>SUMIFS('Données consolidées'!$G$2:$G$16,'Données consolidées'!$B$2:$B$16,"2026-01",'Données consolidées'!$A$2:$A$16,"Centre 2")</f>
        <v>0</v>
      </c>
      <c r="D10" s="14">
        <f>SUMIFS('Données consolidées'!$G$2:$G$16,'Données consolidées'!$B$2:$B$16,"2026-01",'Données consolidées'!$A$2:$A$16,"Centre 3")</f>
        <v>49</v>
      </c>
      <c r="E10" s="14">
        <f>SUMIFS('Données consolidées'!$G$2:$G$16,'Données consolidées'!$B$2:$B$16,"2026-01",'Données consolidées'!$A$2:$A$16,"Centre 4")</f>
        <v>73</v>
      </c>
      <c r="F10" s="14">
        <f>SUMIFS('Données consolidées'!$G$2:$G$16,'Données consolidées'!$B$2:$B$16,"2026-01",'Données consolidées'!$A$2:$A$16,"Centre 5")</f>
        <v>40</v>
      </c>
    </row>
    <row r="11" spans="1:6" x14ac:dyDescent="0.3">
      <c r="A11" t="s">
        <v>20</v>
      </c>
      <c r="B11" s="14">
        <f>SUMIFS('Données consolidées'!$G$2:$G$16,'Données consolidées'!$B$2:$B$16,"2026-02",'Données consolidées'!$A$2:$A$16,"Centre 1")</f>
        <v>47</v>
      </c>
      <c r="C11" s="14">
        <f>SUMIFS('Données consolidées'!$G$2:$G$16,'Données consolidées'!$B$2:$B$16,"2026-02",'Données consolidées'!$A$2:$A$16,"Centre 2")</f>
        <v>65</v>
      </c>
      <c r="D11" s="14">
        <f>SUMIFS('Données consolidées'!$G$2:$G$16,'Données consolidées'!$B$2:$B$16,"2026-02",'Données consolidées'!$A$2:$A$16,"Centre 3")</f>
        <v>0</v>
      </c>
      <c r="E11" s="14">
        <f>SUMIFS('Données consolidées'!$G$2:$G$16,'Données consolidées'!$B$2:$B$16,"2026-02",'Données consolidées'!$A$2:$A$16,"Centre 4")</f>
        <v>66</v>
      </c>
      <c r="F11" s="14">
        <f>SUMIFS('Données consolidées'!$G$2:$G$16,'Données consolidées'!$B$2:$B$16,"2026-02",'Données consolidées'!$A$2:$A$16,"Centre 5")</f>
        <v>47.5</v>
      </c>
    </row>
    <row r="12" spans="1:6" x14ac:dyDescent="0.3">
      <c r="A12" t="s">
        <v>22</v>
      </c>
      <c r="B12" s="14">
        <f>SUMIFS('Données consolidées'!$G$2:$G$16,'Données consolidées'!$B$2:$B$16,"2026-03",'Données consolidées'!$A$2:$A$16,"Centre 1")</f>
        <v>68</v>
      </c>
      <c r="C12" s="14">
        <f>SUMIFS('Données consolidées'!$G$2:$G$16,'Données consolidées'!$B$2:$B$16,"2026-03",'Données consolidées'!$A$2:$A$16,"Centre 2")</f>
        <v>71</v>
      </c>
      <c r="D12" s="14">
        <f>SUMIFS('Données consolidées'!$G$2:$G$16,'Données consolidées'!$B$2:$B$16,"2026-03",'Données consolidées'!$A$2:$A$16,"Centre 3")</f>
        <v>29</v>
      </c>
      <c r="E12" s="14">
        <f>SUMIFS('Données consolidées'!$G$2:$G$16,'Données consolidées'!$B$2:$B$16,"2026-03",'Données consolidées'!$A$2:$A$16,"Centre 4")</f>
        <v>40</v>
      </c>
      <c r="F12" s="14">
        <f>SUMIFS('Données consolidées'!$G$2:$G$16,'Données consolidées'!$B$2:$B$16,"2026-03",'Données consolidées'!$A$2:$A$16,"Centre 5")</f>
        <v>61</v>
      </c>
    </row>
    <row r="15" spans="1:6" ht="15.6" x14ac:dyDescent="0.3">
      <c r="A15" s="19" t="s">
        <v>50</v>
      </c>
    </row>
    <row r="16" spans="1:6" ht="27.6" x14ac:dyDescent="0.3">
      <c r="A16" s="9" t="s">
        <v>9</v>
      </c>
      <c r="B16" s="9" t="s">
        <v>51</v>
      </c>
    </row>
    <row r="17" spans="1:2" x14ac:dyDescent="0.3">
      <c r="A17" s="10" t="s">
        <v>16</v>
      </c>
      <c r="B17" s="11">
        <f>KPI!F11</f>
        <v>16.323529411764703</v>
      </c>
    </row>
    <row r="18" spans="1:2" x14ac:dyDescent="0.3">
      <c r="A18" s="10" t="s">
        <v>23</v>
      </c>
      <c r="B18" s="11">
        <f>KPI!F12</f>
        <v>36.12676056338028</v>
      </c>
    </row>
    <row r="19" spans="1:2" x14ac:dyDescent="0.3">
      <c r="A19" s="10" t="s">
        <v>26</v>
      </c>
      <c r="B19" s="11">
        <f>KPI!F13</f>
        <v>123.10344827586208</v>
      </c>
    </row>
    <row r="20" spans="1:2" x14ac:dyDescent="0.3">
      <c r="A20" s="10" t="s">
        <v>27</v>
      </c>
      <c r="B20" s="11">
        <f>KPI!F14</f>
        <v>76.5</v>
      </c>
    </row>
    <row r="21" spans="1:2" x14ac:dyDescent="0.3">
      <c r="A21" s="10" t="s">
        <v>28</v>
      </c>
      <c r="B21" s="11">
        <f>KPI!F15</f>
        <v>36.885245901639344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120" customWidth="1"/>
  </cols>
  <sheetData>
    <row r="1" spans="1:2" x14ac:dyDescent="0.3">
      <c r="A1" s="9" t="s">
        <v>52</v>
      </c>
      <c r="B1" s="9" t="s">
        <v>53</v>
      </c>
    </row>
    <row r="2" spans="1:2" x14ac:dyDescent="0.3">
      <c r="A2" s="10">
        <v>1</v>
      </c>
      <c r="B2" s="20" t="s">
        <v>54</v>
      </c>
    </row>
    <row r="3" spans="1:2" x14ac:dyDescent="0.3">
      <c r="A3" s="10">
        <v>2</v>
      </c>
      <c r="B3" s="20" t="s">
        <v>55</v>
      </c>
    </row>
    <row r="4" spans="1:2" x14ac:dyDescent="0.3">
      <c r="A4" s="10">
        <v>3</v>
      </c>
      <c r="B4" s="20" t="s">
        <v>56</v>
      </c>
    </row>
    <row r="5" spans="1:2" x14ac:dyDescent="0.3">
      <c r="A5" s="10">
        <v>4</v>
      </c>
      <c r="B5" s="20" t="s">
        <v>57</v>
      </c>
    </row>
    <row r="6" spans="1:2" ht="26.4" x14ac:dyDescent="0.3">
      <c r="A6" s="10">
        <v>5</v>
      </c>
      <c r="B6" s="20" t="s">
        <v>58</v>
      </c>
    </row>
    <row r="7" spans="1:2" ht="26.4" x14ac:dyDescent="0.3">
      <c r="A7" s="10">
        <v>6</v>
      </c>
      <c r="B7" s="20" t="s">
        <v>59</v>
      </c>
    </row>
    <row r="8" spans="1:2" ht="26.4" x14ac:dyDescent="0.3">
      <c r="A8" s="10">
        <v>7</v>
      </c>
      <c r="B8" s="20" t="s">
        <v>60</v>
      </c>
    </row>
    <row r="9" spans="1:2" ht="26.4" x14ac:dyDescent="0.3">
      <c r="A9" s="10">
        <v>8</v>
      </c>
      <c r="B9" s="20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/>
  </sheetViews>
  <sheetFormatPr baseColWidth="10" defaultColWidth="8.6640625" defaultRowHeight="14.4" x14ac:dyDescent="0.3"/>
  <cols>
    <col min="1" max="1" width="16" customWidth="1"/>
    <col min="2" max="8" width="14" customWidth="1"/>
  </cols>
  <sheetData>
    <row r="1" spans="1:8" ht="19.2" x14ac:dyDescent="0.35">
      <c r="A1" s="21" t="s">
        <v>62</v>
      </c>
    </row>
    <row r="3" spans="1:8" ht="15.6" x14ac:dyDescent="0.3">
      <c r="A3" s="22" t="s">
        <v>63</v>
      </c>
    </row>
    <row r="4" spans="1:8" ht="31.5" customHeight="1" x14ac:dyDescent="0.3">
      <c r="A4" s="1" t="s">
        <v>64</v>
      </c>
      <c r="B4" s="1"/>
      <c r="C4" s="1"/>
      <c r="D4" s="1"/>
      <c r="E4" s="1"/>
      <c r="F4" s="1"/>
      <c r="G4" s="1"/>
      <c r="H4" s="1"/>
    </row>
    <row r="6" spans="1:8" ht="15.6" x14ac:dyDescent="0.3">
      <c r="A6" s="22" t="s">
        <v>65</v>
      </c>
    </row>
    <row r="7" spans="1:8" ht="31.5" customHeight="1" x14ac:dyDescent="0.3">
      <c r="A7" s="1" t="s">
        <v>66</v>
      </c>
      <c r="B7" s="1"/>
      <c r="C7" s="1"/>
      <c r="D7" s="1"/>
      <c r="E7" s="1"/>
      <c r="F7" s="1"/>
      <c r="G7" s="1"/>
      <c r="H7" s="1"/>
    </row>
    <row r="9" spans="1:8" ht="15.6" x14ac:dyDescent="0.3">
      <c r="A9" s="22" t="s">
        <v>67</v>
      </c>
    </row>
    <row r="10" spans="1:8" ht="31.5" customHeight="1" x14ac:dyDescent="0.3">
      <c r="A10" s="1" t="s">
        <v>68</v>
      </c>
      <c r="B10" s="1"/>
      <c r="C10" s="1"/>
      <c r="D10" s="1"/>
      <c r="E10" s="1"/>
      <c r="F10" s="1"/>
      <c r="G10" s="1"/>
      <c r="H10" s="1"/>
    </row>
    <row r="12" spans="1:8" ht="15.6" x14ac:dyDescent="0.3">
      <c r="A12" s="22" t="s">
        <v>69</v>
      </c>
    </row>
    <row r="13" spans="1:8" ht="31.5" customHeight="1" x14ac:dyDescent="0.3">
      <c r="A13" s="1" t="s">
        <v>70</v>
      </c>
      <c r="B13" s="1"/>
      <c r="C13" s="1"/>
      <c r="D13" s="1"/>
      <c r="E13" s="1"/>
      <c r="F13" s="1"/>
      <c r="G13" s="1"/>
      <c r="H13" s="1"/>
    </row>
  </sheetData>
  <mergeCells count="4">
    <mergeCell ref="A4:H4"/>
    <mergeCell ref="A7:H7"/>
    <mergeCell ref="A10:H10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83AF-4119-4E40-A69D-A547CF9206B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Dashboard</vt:lpstr>
      <vt:lpstr>Données nettoyées</vt:lpstr>
      <vt:lpstr>Données consolidées</vt:lpstr>
      <vt:lpstr>KPI</vt:lpstr>
      <vt:lpstr>Données graphiques</vt:lpstr>
      <vt:lpstr>Journal des corrections</vt:lpstr>
      <vt:lpstr>Recommandations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Daronoudji Omdel</cp:lastModifiedBy>
  <cp:revision>1</cp:revision>
  <dcterms:created xsi:type="dcterms:W3CDTF">2026-07-23T13:58:57Z</dcterms:created>
  <dcterms:modified xsi:type="dcterms:W3CDTF">2026-07-23T15:04:22Z</dcterms:modified>
  <dc:language>en-US</dc:language>
</cp:coreProperties>
</file>